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dphetamine/Desktop/"/>
    </mc:Choice>
  </mc:AlternateContent>
  <xr:revisionPtr revIDLastSave="0" documentId="13_ncr:1_{FD5B2F42-A803-2C4D-B1FE-D704B99B4CE5}" xr6:coauthVersionLast="47" xr6:coauthVersionMax="47" xr10:uidLastSave="{00000000-0000-0000-0000-000000000000}"/>
  <bookViews>
    <workbookView xWindow="0" yWindow="740" windowWidth="30240" windowHeight="18900" activeTab="1" xr2:uid="{9CC3E5E1-13D9-1947-A646-CCA97E4EB1FE}"/>
  </bookViews>
  <sheets>
    <sheet name="KTP to Trauts" sheetId="1" r:id="rId1"/>
    <sheet name="KTP SH to LNPs" sheetId="2" r:id="rId2"/>
  </sheets>
  <externalReferences>
    <externalReference r:id="rId3"/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1" i="1" l="1"/>
  <c r="T81" i="1" s="1"/>
  <c r="S80" i="1"/>
  <c r="T80" i="1" s="1"/>
  <c r="S79" i="1"/>
  <c r="T79" i="1" s="1"/>
  <c r="S65" i="1"/>
  <c r="T65" i="1" s="1"/>
  <c r="S64" i="1"/>
  <c r="T64" i="1" s="1"/>
  <c r="S50" i="1"/>
  <c r="T50" i="1" s="1"/>
  <c r="S49" i="1"/>
  <c r="T49" i="1" s="1"/>
  <c r="S48" i="1"/>
  <c r="T4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<sst xmlns="http://schemas.openxmlformats.org/spreadsheetml/2006/main" count="159" uniqueCount="84">
  <si>
    <t>nm</t>
  </si>
  <si>
    <t>Nanosight</t>
  </si>
  <si>
    <t>per mL</t>
  </si>
  <si>
    <t>Number of MBP on the surface is</t>
  </si>
  <si>
    <t>Avogadro number is 6.02E23, it is</t>
  </si>
  <si>
    <t>per mol</t>
  </si>
  <si>
    <t>molarity of MBP is</t>
  </si>
  <si>
    <t>mol/mL</t>
  </si>
  <si>
    <t>it is</t>
  </si>
  <si>
    <t>uM</t>
  </si>
  <si>
    <t>KTP-SH react with liposome</t>
  </si>
  <si>
    <t>if make the ratio of KTP-SH to MBP is</t>
  </si>
  <si>
    <t>Ellman's</t>
  </si>
  <si>
    <t>if stock solution of KTP-SH is</t>
  </si>
  <si>
    <t>mM</t>
  </si>
  <si>
    <t xml:space="preserve">if volume of liposome is </t>
  </si>
  <si>
    <t>uL</t>
  </si>
  <si>
    <t xml:space="preserve">so the volume of KTP-SH is </t>
  </si>
  <si>
    <t>Method name: Ellmans assay (Modified)</t>
  </si>
  <si>
    <t>Application: SparkControl</t>
  </si>
  <si>
    <t>V2.3</t>
  </si>
  <si>
    <t>Device: Spark</t>
  </si>
  <si>
    <t>Serial number: 1902001534</t>
  </si>
  <si>
    <t>Firmware:</t>
  </si>
  <si>
    <t>LUM:V5.2.3|ABS:V4.3.2|ABS_MEX:V5.0.7|MTP:V13.1.5|FLUOR:V5.1.3|FLUOR_MEM:V5.0.7|FLUOR_MEX:V5.0.7|GCM:V3.0.2</t>
  </si>
  <si>
    <t>Date:</t>
  </si>
  <si>
    <t>Time:</t>
  </si>
  <si>
    <t>System</t>
  </si>
  <si>
    <t>LAB</t>
  </si>
  <si>
    <t>User</t>
  </si>
  <si>
    <t>LAB\User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</si>
  <si>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</si>
  <si>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</si>
  <si>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</si>
  <si>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</si>
  <si>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</si>
  <si>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</si>
  <si>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</si>
  <si>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</si>
  <si>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</si>
  <si>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</si>
  <si>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Ellmans reagent abs</t>
  </si>
  <si>
    <t>Name</t>
  </si>
  <si>
    <t>GRE96ft</t>
  </si>
  <si>
    <t>Plate layout</t>
  </si>
  <si>
    <t>Plate area</t>
  </si>
  <si>
    <t>B2-D8</t>
  </si>
  <si>
    <t>Mode</t>
  </si>
  <si>
    <t>Measurement wavelength</t>
  </si>
  <si>
    <t>Number of flashes</t>
  </si>
  <si>
    <t>Settle time</t>
  </si>
  <si>
    <t>ms</t>
  </si>
  <si>
    <t>Part of Plate</t>
  </si>
  <si>
    <t>Start Time</t>
  </si>
  <si>
    <t>Temperature</t>
  </si>
  <si>
    <t>°C</t>
  </si>
  <si>
    <t>Concentration (mM)</t>
  </si>
  <si>
    <t>Abs (412 nm)</t>
  </si>
  <si>
    <t>Sample Abs</t>
  </si>
  <si>
    <t>KTP to Trauts</t>
  </si>
  <si>
    <t>&lt;&gt;</t>
  </si>
  <si>
    <t>1 to 10</t>
  </si>
  <si>
    <t xml:space="preserve">Conclusion here is that the more Trauts you add, the more uM you get, but doesn't tell us exactly how much KTP has been modified because KTP-SH is not being purified. </t>
  </si>
  <si>
    <t>A</t>
  </si>
  <si>
    <t>1 to 40</t>
  </si>
  <si>
    <t>So we can just take any ratio and play with it for the conjugation</t>
  </si>
  <si>
    <t>B</t>
  </si>
  <si>
    <t>1 to 80</t>
  </si>
  <si>
    <t>C</t>
  </si>
  <si>
    <t>1 to 100</t>
  </si>
  <si>
    <t>D</t>
  </si>
  <si>
    <t>E</t>
  </si>
  <si>
    <t>F</t>
  </si>
  <si>
    <t>G</t>
  </si>
  <si>
    <t>H</t>
  </si>
  <si>
    <t>m</t>
  </si>
  <si>
    <t>b</t>
  </si>
  <si>
    <t>End Time</t>
  </si>
  <si>
    <t>n</t>
  </si>
  <si>
    <t xml:space="preserve">1 to 80 -1 </t>
  </si>
  <si>
    <t>1 to 80 -2</t>
  </si>
  <si>
    <t>1 to 80 -3</t>
  </si>
  <si>
    <t>A. With 1:10 (KTP:Trauts)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</si>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</sst>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9" formatCode="0.00000000000"/>
    <numFmt numFmtId="170" formatCode="0.000000000000"/>
    <numFmt numFmtId="171" formatCode="0.00000000"/>
  </numFmts>
  <fonts count="10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2D78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2D78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E1F4"/>
        <bgColor indexed="64"/>
      </patternFill>
    </fill>
    <fill>
      <patternFill patternType="solid">
        <fgColor rgb="FFADFF2F"/>
        <bgColor rgb="FF000000"/>
      </patternFill>
    </fill>
    <fill>
      <patternFill patternType="solid">
        <fgColor rgb="FFFA94B4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FFE1F4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2" fillId="4" borderId="0" xfId="0" applyFont="1" applyFill="1"/>
    <xf numFmtId="0" fontId="3" fillId="5" borderId="0" xfId="0" applyFont="1" applyFill="1"/>
    <xf numFmtId="0" fontId="2" fillId="2" borderId="0" xfId="0" applyFont="1" applyFill="1"/>
    <xf numFmtId="20" fontId="2" fillId="2" borderId="0" xfId="0" applyNumberFormat="1" applyFont="1" applyFill="1"/>
    <xf numFmtId="20" fontId="2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1" xfId="0" applyFont="1" applyBorder="1"/>
    <xf numFmtId="0" fontId="5" fillId="0" borderId="2" xfId="0" applyFont="1" applyBorder="1"/>
    <xf numFmtId="11" fontId="5" fillId="0" borderId="2" xfId="0" applyNumberFormat="1" applyFont="1" applyBorder="1"/>
    <xf numFmtId="0" fontId="5" fillId="0" borderId="3" xfId="0" applyFont="1" applyBorder="1"/>
    <xf numFmtId="0" fontId="7" fillId="0" borderId="0" xfId="0" applyFont="1"/>
    <xf numFmtId="0" fontId="5" fillId="0" borderId="4" xfId="0" applyFont="1" applyBorder="1"/>
    <xf numFmtId="11" fontId="5" fillId="0" borderId="0" xfId="0" applyNumberFormat="1" applyFont="1"/>
    <xf numFmtId="0" fontId="5" fillId="0" borderId="5" xfId="0" applyFont="1" applyBorder="1"/>
    <xf numFmtId="2" fontId="5" fillId="0" borderId="0" xfId="0" applyNumberFormat="1" applyFont="1"/>
    <xf numFmtId="0" fontId="8" fillId="0" borderId="0" xfId="0" applyFont="1"/>
    <xf numFmtId="0" fontId="9" fillId="0" borderId="0" xfId="0" applyFont="1"/>
    <xf numFmtId="15" fontId="5" fillId="0" borderId="0" xfId="0" applyNumberFormat="1" applyFont="1"/>
    <xf numFmtId="0" fontId="5" fillId="0" borderId="6" xfId="0" applyFont="1" applyBorder="1"/>
    <xf numFmtId="0" fontId="5" fillId="0" borderId="7" xfId="0" applyFont="1" applyBorder="1"/>
    <xf numFmtId="11" fontId="5" fillId="0" borderId="7" xfId="0" applyNumberFormat="1" applyFont="1" applyBorder="1"/>
    <xf numFmtId="2" fontId="5" fillId="0" borderId="7" xfId="0" applyNumberFormat="1" applyFont="1" applyBorder="1"/>
    <xf numFmtId="0" fontId="5" fillId="0" borderId="8" xfId="0" applyFont="1" applyBorder="1"/>
    <xf numFmtId="0" fontId="5" fillId="6" borderId="0" xfId="0" applyFont="1" applyFill="1"/>
    <xf numFmtId="2" fontId="5" fillId="6" borderId="0" xfId="0" applyNumberFormat="1" applyFont="1" applyFill="1"/>
    <xf numFmtId="164" fontId="5" fillId="0" borderId="0" xfId="0" applyNumberFormat="1" applyFont="1"/>
    <xf numFmtId="169" fontId="5" fillId="0" borderId="0" xfId="0" applyNumberFormat="1" applyFont="1"/>
    <xf numFmtId="164" fontId="5" fillId="6" borderId="0" xfId="0" applyNumberFormat="1" applyFont="1" applyFill="1"/>
    <xf numFmtId="2" fontId="7" fillId="0" borderId="0" xfId="0" applyNumberFormat="1" applyFont="1"/>
    <xf numFmtId="170" fontId="5" fillId="0" borderId="0" xfId="0" applyNumberFormat="1" applyFont="1"/>
    <xf numFmtId="171" fontId="5" fillId="0" borderId="0" xfId="0" applyNumberFormat="1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2.xml"/><Relationship Id="rId9" Type="http://schemas.microsoft.com/office/2022/10/relationships/richValueRel" Target="richData/richValueRel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'[1]Result sheet'!$P$32</c:f>
              <c:strCache>
                <c:ptCount val="1"/>
                <c:pt idx="0">
                  <c:v>Abs (412 nm)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462598425196851E-2"/>
                  <c:y val="-0.206636045494313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'[1]Result sheet'!$O$33:$O$39</c:f>
              <c:numCache>
                <c:formatCode>General</c:formatCode>
                <c:ptCount val="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</c:numCache>
            </c:numRef>
          </c:xVal>
          <c:yVal>
            <c:numRef>
              <c:f>'[1]Result sheet'!$P$33:$P$39</c:f>
              <c:numCache>
                <c:formatCode>General</c:formatCode>
                <c:ptCount val="7"/>
                <c:pt idx="0">
                  <c:v>0.11086666666666667</c:v>
                </c:pt>
                <c:pt idx="1">
                  <c:v>0.26853333333333335</c:v>
                </c:pt>
                <c:pt idx="2">
                  <c:v>0.53129999999999999</c:v>
                </c:pt>
                <c:pt idx="3">
                  <c:v>0.69646666666666668</c:v>
                </c:pt>
                <c:pt idx="4">
                  <c:v>0.82753333333333334</c:v>
                </c:pt>
                <c:pt idx="5">
                  <c:v>0.97626666666666662</c:v>
                </c:pt>
                <c:pt idx="6">
                  <c:v>1.3473999999999997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EB-5640-BAE6-CC1CFB601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563984"/>
        <c:axId val="314053824"/>
      </c:scatterChart>
      <c:valAx>
        <c:axId val="35956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053824"/>
        <c:crosses val="autoZero"/>
        <c:crossBetween val="midCat"/>
      </c:valAx>
      <c:valAx>
        <c:axId val="31405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6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15Aug24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'[2]Step 1 KTP to Trauts'!$P$47</c:f>
              <c:strCache>
                <c:ptCount val="1"/>
                <c:pt idx="0">
                  <c:v>Abs (412 nm)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115485564304465E-2"/>
                  <c:y val="-0.168987678623505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'[2]Step 1 KTP to Trauts'!$O$48:$O$54</c:f>
              <c:numCache>
                <c:formatCode>General</c:formatCode>
                <c:ptCount val="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</c:numCache>
            </c:numRef>
          </c:xVal>
          <c:yVal>
            <c:numRef>
              <c:f>'[2]Step 1 KTP to Trauts'!$P$48:$P$54</c:f>
              <c:numCache>
                <c:formatCode>General</c:formatCode>
                <c:ptCount val="7"/>
                <c:pt idx="0">
                  <c:v>7.0400000000000004E-2</c:v>
                </c:pt>
                <c:pt idx="1">
                  <c:v>0.13109999999999999</c:v>
                </c:pt>
                <c:pt idx="2">
                  <c:v>0.2175</c:v>
                </c:pt>
                <c:pt idx="3">
                  <c:v>0.27160000000000001</c:v>
                </c:pt>
                <c:pt idx="4">
                  <c:v>0.32340000000000002</c:v>
                </c:pt>
                <c:pt idx="5">
                  <c:v>0.33810000000000001</c:v>
                </c:pt>
                <c:pt idx="6">
                  <c:v>0.43130000000000002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8D-5C42-A4C0-C2A0040B7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613136"/>
        <c:axId val="1940260592"/>
      </c:scatterChart>
      <c:valAx>
        <c:axId val="180261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260592"/>
        <c:crosses val="autoZero"/>
        <c:crossBetween val="midCat"/>
      </c:valAx>
      <c:valAx>
        <c:axId val="194026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61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16Aug24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4795931758530182E-2"/>
                  <c:y val="-0.185767351997666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'[2]Step 1 KTP to Trauts'!$O$64:$O$70</c:f>
              <c:numCache>
                <c:formatCode>General</c:formatCode>
                <c:ptCount val="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</c:numCache>
            </c:numRef>
          </c:xVal>
          <c:yVal>
            <c:numRef>
              <c:f>'[2]Step 1 KTP to Trauts'!$P$64:$P$70</c:f>
              <c:numCache>
                <c:formatCode>General</c:formatCode>
                <c:ptCount val="7"/>
                <c:pt idx="0">
                  <c:v>9.9299999999999999E-2</c:v>
                </c:pt>
                <c:pt idx="1">
                  <c:v>0.1802</c:v>
                </c:pt>
                <c:pt idx="2">
                  <c:v>0.24779999999999999</c:v>
                </c:pt>
                <c:pt idx="3">
                  <c:v>0.31809999999999999</c:v>
                </c:pt>
                <c:pt idx="4">
                  <c:v>0.39179999999999998</c:v>
                </c:pt>
                <c:pt idx="5">
                  <c:v>0.44109999999999999</c:v>
                </c:pt>
                <c:pt idx="6">
                  <c:v>0.50409999999999999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94-A04E-B7DA-DC2AAB406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390447"/>
        <c:axId val="1639723391"/>
      </c:scatterChart>
      <c:valAx>
        <c:axId val="174539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723391"/>
        <c:crosses val="autoZero"/>
        <c:crossBetween val="midCat"/>
      </c:valAx>
      <c:valAx>
        <c:axId val="163972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390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67104111986002E-2"/>
                  <c:y val="-0.159822105570137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'[2]Step 1 KTP to Trauts'!$O$79:$O$85</c:f>
              <c:numCache>
                <c:formatCode>General</c:formatCode>
                <c:ptCount val="7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</c:numCache>
            </c:numRef>
          </c:xVal>
          <c:yVal>
            <c:numRef>
              <c:f>'[2]Step 1 KTP to Trauts'!$P$79:$P$85</c:f>
              <c:numCache>
                <c:formatCode>General</c:formatCode>
                <c:ptCount val="7"/>
                <c:pt idx="0">
                  <c:v>7.0300000000000001E-2</c:v>
                </c:pt>
                <c:pt idx="1">
                  <c:v>0.1351</c:v>
                </c:pt>
                <c:pt idx="2">
                  <c:v>0.1956</c:v>
                </c:pt>
                <c:pt idx="3">
                  <c:v>0.26290000000000002</c:v>
                </c:pt>
                <c:pt idx="4">
                  <c:v>0.30790000000000001</c:v>
                </c:pt>
                <c:pt idx="5">
                  <c:v>0.38369999999999999</c:v>
                </c:pt>
                <c:pt idx="6">
                  <c:v>0.42320000000000002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E8-494C-91BC-5C8FF14DD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430960"/>
        <c:axId val="2000941552"/>
      </c:scatterChart>
      <c:valAx>
        <c:axId val="200143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941552"/>
        <c:crosses val="autoZero"/>
        <c:crossBetween val="midCat"/>
      </c:valAx>
      <c:valAx>
        <c:axId val="20009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430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165100</xdr:colOff>
      <xdr:row>9</xdr:row>
      <xdr:rowOff>152400</xdr:rowOff>
    </xdr:from>
    <xdr:to>
      <xdr:col>19</xdr:col>
      <xdr:colOff>710141</xdr:colOff>
      <xdr:row>23</xdr:row>
      <xdr:rowOff>169333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717FDB-08DF-0440-8DDA-7FDF91D04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812800</xdr:colOff>
      <xdr:row>40</xdr:row>
      <xdr:rowOff>96520</xdr:rowOff>
    </xdr:from>
    <xdr:to>
      <xdr:col>13</xdr:col>
      <xdr:colOff>447040</xdr:colOff>
      <xdr:row>54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2A99D1-D1F5-9C4F-9425-90CAA9B97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721360</xdr:colOff>
      <xdr:row>57</xdr:row>
      <xdr:rowOff>76200</xdr:rowOff>
    </xdr:from>
    <xdr:to>
      <xdr:col>13</xdr:col>
      <xdr:colOff>355600</xdr:colOff>
      <xdr:row>71</xdr:row>
      <xdr:rowOff>116840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2872ED-E921-D347-BC0E-237B3BB98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609600</xdr:colOff>
      <xdr:row>72</xdr:row>
      <xdr:rowOff>130175</xdr:rowOff>
    </xdr:from>
    <xdr:to>
      <xdr:col>13</xdr:col>
      <xdr:colOff>228600</xdr:colOff>
      <xdr:row>87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4CA198-6520-7F4F-82F2-5E310127A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rendphetamine/Desktop/KTP%20ratios.xlsx" TargetMode="External"/><Relationship Id="rId1" Type="http://schemas.openxmlformats.org/officeDocument/2006/relationships/externalLinkPath" Target="KTP%20rati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rendphetamine/Desktop/PhD%20Protocols/Quantification%20of%20KTP%20into%20ECFCs%20Project.xlsx" TargetMode="External"/><Relationship Id="rId1" Type="http://schemas.openxmlformats.org/officeDocument/2006/relationships/externalLinkPath" Target="PhD%20Protocols/Quantification%20of%20KTP%20into%20ECFCs%20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 sheet"/>
    </sheetNames>
    <sheetDataSet>
      <sheetData sheetId="0">
        <row r="32">
          <cell r="P32" t="str">
            <v>Abs (412 nm)</v>
          </cell>
        </row>
        <row r="33">
          <cell r="O33">
            <v>0</v>
          </cell>
          <cell r="P33">
            <v>0.11086666666666667</v>
          </cell>
        </row>
        <row r="34">
          <cell r="O34">
            <v>0.25</v>
          </cell>
          <cell r="P34">
            <v>0.26853333333333335</v>
          </cell>
        </row>
        <row r="35">
          <cell r="O35">
            <v>0.5</v>
          </cell>
          <cell r="P35">
            <v>0.53129999999999999</v>
          </cell>
        </row>
        <row r="36">
          <cell r="O36">
            <v>0.75</v>
          </cell>
          <cell r="P36">
            <v>0.69646666666666668</v>
          </cell>
        </row>
        <row r="37">
          <cell r="O37">
            <v>1</v>
          </cell>
          <cell r="P37">
            <v>0.82753333333333334</v>
          </cell>
        </row>
        <row r="38">
          <cell r="O38">
            <v>1.25</v>
          </cell>
          <cell r="P38">
            <v>0.97626666666666662</v>
          </cell>
        </row>
        <row r="39">
          <cell r="O39">
            <v>1.5</v>
          </cell>
          <cell r="P39">
            <v>1.3473999999999997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 zero"/>
      <sheetName val="Step 1 Calculator"/>
      <sheetName val="Step 1 KTP to Trauts"/>
      <sheetName val="Step 2  KTP to MAE(FITC)"/>
      <sheetName val="Calibration FL"/>
      <sheetName val="Step 2 KTP to MAE No FITC"/>
      <sheetName val="Results FL Sheet"/>
    </sheetNames>
    <sheetDataSet>
      <sheetData sheetId="0"/>
      <sheetData sheetId="1"/>
      <sheetData sheetId="2">
        <row r="47">
          <cell r="P47" t="str">
            <v>Abs (412 nm)</v>
          </cell>
        </row>
        <row r="48">
          <cell r="O48">
            <v>0</v>
          </cell>
          <cell r="P48">
            <v>7.0400000000000004E-2</v>
          </cell>
        </row>
        <row r="49">
          <cell r="O49">
            <v>0.25</v>
          </cell>
          <cell r="P49">
            <v>0.13109999999999999</v>
          </cell>
        </row>
        <row r="50">
          <cell r="O50">
            <v>0.5</v>
          </cell>
          <cell r="P50">
            <v>0.2175</v>
          </cell>
        </row>
        <row r="51">
          <cell r="O51">
            <v>0.75</v>
          </cell>
          <cell r="P51">
            <v>0.27160000000000001</v>
          </cell>
        </row>
        <row r="52">
          <cell r="O52">
            <v>1</v>
          </cell>
          <cell r="P52">
            <v>0.32340000000000002</v>
          </cell>
        </row>
        <row r="53">
          <cell r="O53">
            <v>1.25</v>
          </cell>
          <cell r="P53">
            <v>0.33810000000000001</v>
          </cell>
        </row>
        <row r="54">
          <cell r="O54">
            <v>1.5</v>
          </cell>
          <cell r="P54">
            <v>0.43130000000000002</v>
          </cell>
        </row>
        <row r="64">
          <cell r="O64">
            <v>0</v>
          </cell>
          <cell r="P64">
            <v>9.9299999999999999E-2</v>
          </cell>
        </row>
        <row r="65">
          <cell r="O65">
            <v>0.25</v>
          </cell>
          <cell r="P65">
            <v>0.1802</v>
          </cell>
        </row>
        <row r="66">
          <cell r="O66">
            <v>0.5</v>
          </cell>
          <cell r="P66">
            <v>0.24779999999999999</v>
          </cell>
        </row>
        <row r="67">
          <cell r="O67">
            <v>0.75</v>
          </cell>
          <cell r="P67">
            <v>0.31809999999999999</v>
          </cell>
        </row>
        <row r="68">
          <cell r="O68">
            <v>1</v>
          </cell>
          <cell r="P68">
            <v>0.39179999999999998</v>
          </cell>
        </row>
        <row r="69">
          <cell r="O69">
            <v>1.25</v>
          </cell>
          <cell r="P69">
            <v>0.44109999999999999</v>
          </cell>
        </row>
        <row r="70">
          <cell r="O70">
            <v>1.5</v>
          </cell>
          <cell r="P70">
            <v>0.50409999999999999</v>
          </cell>
        </row>
        <row r="79">
          <cell r="O79">
            <v>0</v>
          </cell>
          <cell r="P79">
            <v>7.0300000000000001E-2</v>
          </cell>
        </row>
        <row r="80">
          <cell r="O80">
            <v>0.25</v>
          </cell>
          <cell r="P80">
            <v>0.1351</v>
          </cell>
        </row>
        <row r="81">
          <cell r="O81">
            <v>0.5</v>
          </cell>
          <cell r="P81">
            <v>0.1956</v>
          </cell>
        </row>
        <row r="82">
          <cell r="O82">
            <v>0.75</v>
          </cell>
          <cell r="P82">
            <v>0.26290000000000002</v>
          </cell>
        </row>
        <row r="83">
          <cell r="O83">
            <v>1</v>
          </cell>
          <cell r="P83">
            <v>0.30790000000000001</v>
          </cell>
        </row>
        <row r="84">
          <cell r="O84">
            <v>1.25</v>
          </cell>
          <cell r="P84">
            <v>0.38369999999999999</v>
          </cell>
        </row>
        <row r="85">
          <cell r="O85">
            <v>1.5</v>
          </cell>
          <cell r="P85">
            <v>0.42320000000000002</v>
          </cell>
        </row>
      </sheetData>
      <sheetData sheetId="3"/>
      <sheetData sheetId="4"/>
      <sheetData sheetId="5"/>
      <sheetData sheetId="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D1BA-A6FD-D04B-882D-B12352F4CC63}">
  <dimension ref="A1:V88"/>
  <sheetViews>
    <sheetView workbookViewId="0">
      <selection activeCell="F27" sqref="F27"/>
    </sheetView>
  </sheetViews>
  <sheetFormatPr baseColWidth="10" defaultRowHeight="16" x14ac:dyDescent="0.2"/>
  <sheetData>
    <row r="1" spans="1:21" x14ac:dyDescent="0.2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">
      <c r="A2" s="1" t="s">
        <v>19</v>
      </c>
      <c r="B2" s="1"/>
      <c r="C2" s="1"/>
      <c r="D2" s="1"/>
      <c r="E2" s="1" t="s">
        <v>20</v>
      </c>
      <c r="F2" s="1"/>
      <c r="G2" s="1"/>
      <c r="H2" s="1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">
      <c r="A3" s="1" t="s">
        <v>21</v>
      </c>
      <c r="B3" s="1"/>
      <c r="C3" s="1"/>
      <c r="D3" s="1"/>
      <c r="E3" s="1" t="s">
        <v>22</v>
      </c>
      <c r="F3" s="1"/>
      <c r="G3" s="1"/>
      <c r="H3" s="1"/>
      <c r="I3" s="1"/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2">
      <c r="A4" s="1" t="s">
        <v>23</v>
      </c>
      <c r="B4" s="1"/>
      <c r="C4" s="1"/>
      <c r="D4" s="1"/>
      <c r="E4" s="1" t="s">
        <v>24</v>
      </c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  <c r="U4" s="2"/>
    </row>
    <row r="5" spans="1:2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">
      <c r="A6" s="1" t="s">
        <v>25</v>
      </c>
      <c r="B6" s="1"/>
      <c r="C6" s="1"/>
      <c r="D6" s="1"/>
      <c r="E6" s="1">
        <v>45490</v>
      </c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2">
      <c r="A7" s="1" t="s">
        <v>26</v>
      </c>
      <c r="B7" s="1"/>
      <c r="C7" s="1"/>
      <c r="D7" s="1"/>
      <c r="E7" s="1">
        <v>0.60833333333333328</v>
      </c>
      <c r="F7" s="1"/>
      <c r="G7" s="1"/>
      <c r="H7" s="1"/>
      <c r="I7" s="1"/>
      <c r="J7" s="1"/>
      <c r="K7" s="1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">
      <c r="A8" s="1" t="s">
        <v>27</v>
      </c>
      <c r="B8" s="1"/>
      <c r="C8" s="1"/>
      <c r="D8" s="1"/>
      <c r="E8" s="1" t="s">
        <v>28</v>
      </c>
      <c r="F8" s="1"/>
      <c r="G8" s="1"/>
      <c r="H8" s="1"/>
      <c r="I8" s="1"/>
      <c r="J8" s="1"/>
      <c r="K8" s="1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2">
      <c r="A9" s="1" t="s">
        <v>29</v>
      </c>
      <c r="B9" s="1"/>
      <c r="C9" s="1"/>
      <c r="D9" s="1"/>
      <c r="E9" s="1" t="s">
        <v>30</v>
      </c>
      <c r="F9" s="1"/>
      <c r="G9" s="1"/>
      <c r="H9" s="1"/>
      <c r="I9" s="1"/>
      <c r="J9" s="1"/>
      <c r="K9" s="1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2">
      <c r="A10" s="1" t="s">
        <v>31</v>
      </c>
      <c r="B10" s="1"/>
      <c r="C10" s="1"/>
      <c r="D10" s="1"/>
      <c r="E10" s="1" t="s">
        <v>32</v>
      </c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">
      <c r="A11" s="1" t="s">
        <v>33</v>
      </c>
      <c r="B11" s="1"/>
      <c r="C11" s="1"/>
      <c r="D11" s="1"/>
      <c r="E11" s="1" t="s">
        <v>34</v>
      </c>
      <c r="F11" s="1"/>
      <c r="G11" s="1"/>
      <c r="H11" s="1"/>
      <c r="I11" s="1"/>
      <c r="J11" s="1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1" t="s">
        <v>35</v>
      </c>
      <c r="B12" s="1"/>
      <c r="C12" s="1"/>
      <c r="D12" s="1"/>
      <c r="E12" s="1" t="s">
        <v>36</v>
      </c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2">
      <c r="A13" s="1" t="s">
        <v>37</v>
      </c>
      <c r="B13" s="1"/>
      <c r="C13" s="1"/>
      <c r="D13" s="1"/>
      <c r="E13" s="1" t="s">
        <v>38</v>
      </c>
      <c r="F13" s="1"/>
      <c r="G13" s="1"/>
      <c r="H13" s="1"/>
      <c r="I13" s="1"/>
      <c r="J13" s="1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2"/>
      <c r="N14" s="2"/>
      <c r="O14" s="2" t="e" vm="1">
        <v>#VALUE!</v>
      </c>
      <c r="P14" s="2"/>
      <c r="Q14" s="2"/>
      <c r="R14" s="2"/>
      <c r="S14" s="2"/>
      <c r="T14" s="2"/>
      <c r="U14" s="2"/>
    </row>
    <row r="15" spans="1:21" x14ac:dyDescent="0.2">
      <c r="A15" s="3" t="s">
        <v>39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">
      <c r="A16" s="3" t="s">
        <v>31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2">
      <c r="A17" s="3"/>
      <c r="B17" s="3" t="s">
        <v>40</v>
      </c>
      <c r="C17" s="3"/>
      <c r="D17" s="3"/>
      <c r="E17" s="3"/>
      <c r="F17" s="3"/>
      <c r="G17" s="3" t="s">
        <v>41</v>
      </c>
      <c r="H17" s="3"/>
      <c r="I17" s="3"/>
      <c r="J17" s="3"/>
      <c r="K17" s="3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">
      <c r="A19" s="1" t="s">
        <v>42</v>
      </c>
      <c r="B19" s="1"/>
      <c r="C19" s="1"/>
      <c r="D19" s="1"/>
      <c r="E19" s="1" t="s">
        <v>43</v>
      </c>
      <c r="F19" s="1"/>
      <c r="G19" s="1"/>
      <c r="H19" s="1"/>
      <c r="I19" s="1"/>
      <c r="J19" s="1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">
      <c r="A20" s="1" t="s">
        <v>44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">
      <c r="A21" s="1" t="s">
        <v>45</v>
      </c>
      <c r="B21" s="1"/>
      <c r="C21" s="1"/>
      <c r="D21" s="1"/>
      <c r="E21" s="1" t="s">
        <v>46</v>
      </c>
      <c r="F21" s="1"/>
      <c r="G21" s="1"/>
      <c r="H21" s="1"/>
      <c r="I21" s="1"/>
      <c r="J21" s="1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">
      <c r="A23" s="1" t="s">
        <v>47</v>
      </c>
      <c r="B23" s="1" t="s">
        <v>40</v>
      </c>
      <c r="C23" s="1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">
      <c r="A24" s="1" t="s">
        <v>42</v>
      </c>
      <c r="B24" s="1" t="s">
        <v>41</v>
      </c>
      <c r="C24" s="1"/>
      <c r="D24" s="1"/>
      <c r="E24" s="1"/>
      <c r="F24" s="1"/>
      <c r="G24" s="1"/>
      <c r="H24" s="1"/>
      <c r="I24" s="1"/>
      <c r="J24" s="1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">
      <c r="A25" s="1" t="s">
        <v>48</v>
      </c>
      <c r="B25" s="1"/>
      <c r="C25" s="1"/>
      <c r="D25" s="1"/>
      <c r="E25" s="1">
        <v>412</v>
      </c>
      <c r="F25" s="1" t="s">
        <v>0</v>
      </c>
      <c r="G25" s="1"/>
      <c r="H25" s="1"/>
      <c r="I25" s="1"/>
      <c r="J25" s="1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">
      <c r="A26" s="1" t="s">
        <v>49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">
      <c r="A27" s="1" t="s">
        <v>50</v>
      </c>
      <c r="B27" s="1"/>
      <c r="C27" s="1"/>
      <c r="D27" s="1"/>
      <c r="E27" s="1">
        <v>50</v>
      </c>
      <c r="F27" s="1" t="s">
        <v>51</v>
      </c>
      <c r="G27" s="1"/>
      <c r="H27" s="1"/>
      <c r="I27" s="1"/>
      <c r="J27" s="1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">
      <c r="A28" s="1" t="s">
        <v>52</v>
      </c>
      <c r="B28" s="1"/>
      <c r="C28" s="1"/>
      <c r="D28" s="1"/>
      <c r="E28" s="1" t="s">
        <v>46</v>
      </c>
      <c r="F28" s="1"/>
      <c r="G28" s="1"/>
      <c r="H28" s="1"/>
      <c r="I28" s="1"/>
      <c r="J28" s="1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">
      <c r="A30" s="1" t="s">
        <v>53</v>
      </c>
      <c r="B30" s="1"/>
      <c r="C30" s="1"/>
      <c r="D30" s="1"/>
      <c r="E30" s="1">
        <v>45490.60833333333</v>
      </c>
      <c r="F30" s="1"/>
      <c r="G30" s="1"/>
      <c r="H30" s="1"/>
      <c r="I30" s="1"/>
      <c r="J30" s="1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">
      <c r="A31" s="1" t="s">
        <v>54</v>
      </c>
      <c r="B31" s="1"/>
      <c r="C31" s="1"/>
      <c r="D31" s="1"/>
      <c r="E31" s="1">
        <v>25.1</v>
      </c>
      <c r="F31" s="1" t="s">
        <v>55</v>
      </c>
      <c r="G31" s="1"/>
      <c r="H31" s="1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2"/>
      <c r="N32" s="2"/>
      <c r="O32" s="2" t="s">
        <v>56</v>
      </c>
      <c r="P32" s="2" t="s">
        <v>57</v>
      </c>
      <c r="Q32" s="4" t="s">
        <v>58</v>
      </c>
      <c r="R32" s="4" t="s">
        <v>59</v>
      </c>
      <c r="S32" s="4" t="s">
        <v>14</v>
      </c>
      <c r="T32" s="4" t="s">
        <v>9</v>
      </c>
      <c r="U32" s="2"/>
    </row>
    <row r="33" spans="1:22" x14ac:dyDescent="0.2">
      <c r="A33" s="5" t="s">
        <v>60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  <c r="N33" s="2"/>
      <c r="O33" s="2">
        <v>0</v>
      </c>
      <c r="P33" s="2">
        <v>0.110866667</v>
      </c>
      <c r="Q33" s="6">
        <v>0.10398333</v>
      </c>
      <c r="R33" s="7" t="s">
        <v>61</v>
      </c>
      <c r="S33" s="6">
        <v>6.5630000000000003E-3</v>
      </c>
      <c r="T33" s="6">
        <v>6.5633739999999996</v>
      </c>
      <c r="U33" s="2"/>
      <c r="V33" t="s">
        <v>62</v>
      </c>
    </row>
    <row r="34" spans="1:22" x14ac:dyDescent="0.2">
      <c r="A34" s="5" t="s">
        <v>63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  <c r="O34" s="2">
        <v>0.25</v>
      </c>
      <c r="P34" s="2">
        <v>0.26853333299999999</v>
      </c>
      <c r="Q34" s="2">
        <v>0.40423333</v>
      </c>
      <c r="R34" s="8" t="s">
        <v>64</v>
      </c>
      <c r="S34" s="2">
        <v>0.394233</v>
      </c>
      <c r="T34" s="2">
        <v>394.2328</v>
      </c>
      <c r="U34" s="2"/>
      <c r="V34" t="s">
        <v>65</v>
      </c>
    </row>
    <row r="35" spans="1:22" x14ac:dyDescent="0.2">
      <c r="A35" s="5" t="s">
        <v>66</v>
      </c>
      <c r="B35" s="1"/>
      <c r="C35" s="1">
        <v>0.1105</v>
      </c>
      <c r="D35" s="1">
        <v>0.38400000000000001</v>
      </c>
      <c r="E35" s="1">
        <v>0.53100000000000003</v>
      </c>
      <c r="F35" s="1">
        <v>1.0246999999999999</v>
      </c>
      <c r="G35" s="1">
        <v>1.3599000000000001</v>
      </c>
      <c r="H35" s="1">
        <v>1.2619</v>
      </c>
      <c r="I35" s="1">
        <v>1.3759999999999999</v>
      </c>
      <c r="J35" s="1"/>
      <c r="K35" s="1"/>
      <c r="L35" s="1"/>
      <c r="M35" s="1"/>
      <c r="N35" s="2"/>
      <c r="O35" s="2">
        <v>0.5</v>
      </c>
      <c r="P35" s="2">
        <v>0.53129999999999999</v>
      </c>
      <c r="Q35" s="2">
        <v>0.60548332999999999</v>
      </c>
      <c r="R35" s="2" t="s">
        <v>67</v>
      </c>
      <c r="S35" s="2">
        <v>0.65407800000000005</v>
      </c>
      <c r="T35" s="2">
        <v>654.0779</v>
      </c>
      <c r="U35" s="2"/>
    </row>
    <row r="36" spans="1:22" x14ac:dyDescent="0.2">
      <c r="A36" s="5" t="s">
        <v>68</v>
      </c>
      <c r="B36" s="1"/>
      <c r="C36" s="1">
        <v>0.1104</v>
      </c>
      <c r="D36" s="1">
        <v>0.2329</v>
      </c>
      <c r="E36" s="1">
        <v>0.65100000000000002</v>
      </c>
      <c r="F36" s="1">
        <v>0.77959999999999996</v>
      </c>
      <c r="G36" s="1">
        <v>0.87980000000000003</v>
      </c>
      <c r="H36" s="1">
        <v>0.90620000000000001</v>
      </c>
      <c r="I36" s="1">
        <v>1.3355999999999999</v>
      </c>
      <c r="J36" s="1"/>
      <c r="K36" s="1"/>
      <c r="L36" s="1"/>
      <c r="M36" s="1"/>
      <c r="N36" s="2"/>
      <c r="O36" s="2">
        <v>0.75</v>
      </c>
      <c r="P36" s="2">
        <v>0.69646666700000004</v>
      </c>
      <c r="Q36" s="2">
        <v>0.70798333000000002</v>
      </c>
      <c r="R36" s="2" t="s">
        <v>69</v>
      </c>
      <c r="S36" s="2">
        <v>0.78642100000000004</v>
      </c>
      <c r="T36" s="2">
        <v>786.42129999999997</v>
      </c>
      <c r="U36" s="2"/>
    </row>
    <row r="37" spans="1:22" x14ac:dyDescent="0.2">
      <c r="A37" s="5" t="s">
        <v>70</v>
      </c>
      <c r="B37" s="1"/>
      <c r="C37" s="1">
        <v>0.11169999999999999</v>
      </c>
      <c r="D37" s="1">
        <v>0.18870000000000001</v>
      </c>
      <c r="E37" s="1">
        <v>0.41189999999999999</v>
      </c>
      <c r="F37" s="1">
        <v>0.28510000000000002</v>
      </c>
      <c r="G37" s="1">
        <v>0.2429</v>
      </c>
      <c r="H37" s="1">
        <v>0.76070000000000004</v>
      </c>
      <c r="I37" s="1">
        <v>1.3306</v>
      </c>
      <c r="J37" s="1"/>
      <c r="K37" s="1"/>
      <c r="L37" s="1"/>
      <c r="M37" s="1"/>
      <c r="N37" s="2"/>
      <c r="O37" s="2">
        <v>1</v>
      </c>
      <c r="P37" s="2">
        <v>0.82753333299999998</v>
      </c>
      <c r="Q37" s="2"/>
      <c r="R37" s="2"/>
      <c r="S37" s="2"/>
      <c r="T37" s="2"/>
      <c r="U37" s="2"/>
    </row>
    <row r="38" spans="1:22" x14ac:dyDescent="0.2">
      <c r="A38" s="5" t="s">
        <v>71</v>
      </c>
      <c r="B38" s="1"/>
      <c r="C38" s="1">
        <v>0.11086699999999999</v>
      </c>
      <c r="D38" s="1">
        <v>0.26853300000000002</v>
      </c>
      <c r="E38" s="1">
        <v>0.53129999999999999</v>
      </c>
      <c r="F38" s="1">
        <v>0.69646699999999995</v>
      </c>
      <c r="G38" s="1">
        <v>0.82753299999999996</v>
      </c>
      <c r="H38" s="1">
        <v>0.976267</v>
      </c>
      <c r="I38" s="1">
        <v>1.3473999999999999</v>
      </c>
      <c r="J38" s="1"/>
      <c r="K38" s="1"/>
      <c r="L38" s="1"/>
      <c r="M38" s="1"/>
      <c r="N38" s="2"/>
      <c r="O38" s="2">
        <v>1.25</v>
      </c>
      <c r="P38" s="2">
        <v>0.97626666699999998</v>
      </c>
      <c r="Q38" s="2"/>
      <c r="R38" s="2"/>
      <c r="S38" s="2"/>
      <c r="T38" s="2"/>
      <c r="U38" s="2"/>
    </row>
    <row r="39" spans="1:22" x14ac:dyDescent="0.2">
      <c r="A39" s="5" t="s">
        <v>72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  <c r="O39" s="2">
        <v>1.5</v>
      </c>
      <c r="P39" s="2">
        <v>1.3473999999999999</v>
      </c>
      <c r="Q39" s="2"/>
      <c r="R39" s="2"/>
      <c r="S39" s="2"/>
      <c r="T39" s="2"/>
      <c r="U39" s="2"/>
    </row>
    <row r="40" spans="1:22" x14ac:dyDescent="0.2">
      <c r="A40" s="5" t="s">
        <v>73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"/>
      <c r="O40" s="2"/>
      <c r="P40" s="2"/>
      <c r="Q40" s="2"/>
      <c r="R40" s="2"/>
      <c r="S40" s="2"/>
      <c r="T40" s="2"/>
      <c r="U40" s="2"/>
    </row>
    <row r="41" spans="1:22" x14ac:dyDescent="0.2">
      <c r="A41" s="5" t="s">
        <v>74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  <c r="O41" s="2"/>
      <c r="P41" s="2"/>
      <c r="Q41" s="2"/>
      <c r="R41" s="2"/>
      <c r="S41" s="2"/>
      <c r="T41" s="2"/>
      <c r="U41" s="2"/>
    </row>
    <row r="42" spans="1:22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2"/>
      <c r="N42" s="2"/>
      <c r="O42" s="2" t="s">
        <v>75</v>
      </c>
      <c r="P42" s="2">
        <v>0.77449999999999997</v>
      </c>
      <c r="Q42" s="2"/>
      <c r="R42" s="2"/>
      <c r="S42" s="2"/>
      <c r="T42" s="2"/>
      <c r="U42" s="2"/>
    </row>
    <row r="43" spans="1:22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2"/>
      <c r="M43" s="2"/>
      <c r="N43" s="2"/>
      <c r="O43" s="2" t="s">
        <v>76</v>
      </c>
      <c r="P43" s="2">
        <v>9.8900000000000002E-2</v>
      </c>
      <c r="Q43" s="2"/>
      <c r="R43" s="2"/>
      <c r="S43" s="2"/>
      <c r="T43" s="2"/>
      <c r="U43" s="2"/>
    </row>
    <row r="44" spans="1:22" x14ac:dyDescent="0.2">
      <c r="A44" s="1" t="s">
        <v>77</v>
      </c>
      <c r="B44" s="1"/>
      <c r="C44" s="1"/>
      <c r="D44" s="1"/>
      <c r="E44" s="1">
        <v>45490.608414351853</v>
      </c>
      <c r="F44" s="1"/>
      <c r="G44" s="1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2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2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2" x14ac:dyDescent="0.2">
      <c r="A47" s="2"/>
      <c r="B47" s="2"/>
      <c r="C47" s="1">
        <v>0.2051</v>
      </c>
      <c r="D47" s="1">
        <v>0.51329999999999998</v>
      </c>
      <c r="E47" s="1">
        <v>0.73680000000000001</v>
      </c>
      <c r="F47" s="1">
        <v>0.8206</v>
      </c>
      <c r="G47" s="2"/>
      <c r="H47" s="2"/>
      <c r="I47" s="2"/>
      <c r="J47" s="2"/>
      <c r="K47" s="2"/>
      <c r="L47" s="2"/>
      <c r="M47" s="2"/>
      <c r="N47" s="2"/>
      <c r="O47" s="2" t="s">
        <v>56</v>
      </c>
      <c r="P47" s="2" t="s">
        <v>57</v>
      </c>
      <c r="Q47" s="4" t="s">
        <v>58</v>
      </c>
      <c r="R47" s="4" t="s">
        <v>59</v>
      </c>
      <c r="S47" s="4" t="s">
        <v>14</v>
      </c>
      <c r="T47" s="4" t="s">
        <v>9</v>
      </c>
      <c r="U47" s="4" t="s">
        <v>78</v>
      </c>
    </row>
    <row r="48" spans="1:22" x14ac:dyDescent="0.2">
      <c r="A48" s="2"/>
      <c r="B48" s="2"/>
      <c r="C48" s="1">
        <v>0.22459999999999999</v>
      </c>
      <c r="D48" s="1">
        <v>0.51690000000000003</v>
      </c>
      <c r="E48" s="1">
        <v>0.69589999999999996</v>
      </c>
      <c r="F48" s="1">
        <v>0.81710000000000005</v>
      </c>
      <c r="G48" s="2"/>
      <c r="H48" s="2"/>
      <c r="I48" s="2"/>
      <c r="J48" s="2"/>
      <c r="K48" s="2"/>
      <c r="L48" s="2"/>
      <c r="M48" s="2"/>
      <c r="N48" s="2"/>
      <c r="O48" s="2">
        <v>0</v>
      </c>
      <c r="P48" s="2">
        <v>7.0400000000000004E-2</v>
      </c>
      <c r="Q48" s="2">
        <v>9.1649999999999995E-2</v>
      </c>
      <c r="R48" s="2" t="s">
        <v>79</v>
      </c>
      <c r="S48" s="2">
        <f>(Q48-P$60)/P$59</f>
        <v>0.26496286588029705</v>
      </c>
      <c r="T48" s="2">
        <f>S48*1000</f>
        <v>264.96286588029704</v>
      </c>
      <c r="U48" s="2">
        <v>2</v>
      </c>
    </row>
    <row r="49" spans="1:21" x14ac:dyDescent="0.2">
      <c r="A49" s="2"/>
      <c r="B49" s="2"/>
      <c r="C49" s="2">
        <v>0.21485000000000001</v>
      </c>
      <c r="D49" s="2">
        <v>0.5151</v>
      </c>
      <c r="E49" s="2">
        <v>0.71635000000000004</v>
      </c>
      <c r="F49" s="2">
        <v>0.81884999999999997</v>
      </c>
      <c r="G49" s="2"/>
      <c r="H49" s="2"/>
      <c r="I49" s="2"/>
      <c r="J49" s="2"/>
      <c r="K49" s="2"/>
      <c r="L49" s="2"/>
      <c r="M49" s="2"/>
      <c r="N49" s="2"/>
      <c r="O49" s="2">
        <v>0.25</v>
      </c>
      <c r="P49" s="2">
        <v>0.13109999999999999</v>
      </c>
      <c r="Q49" s="2">
        <v>9.1564999999999994E-2</v>
      </c>
      <c r="R49" s="2" t="s">
        <v>80</v>
      </c>
      <c r="S49" s="2">
        <f>(Q49-P$60)/P$59</f>
        <v>0.2645915246832678</v>
      </c>
      <c r="T49" s="2">
        <f>S49*1000</f>
        <v>264.59152468326778</v>
      </c>
      <c r="U49" s="2">
        <v>2</v>
      </c>
    </row>
    <row r="50" spans="1:21" x14ac:dyDescent="0.2">
      <c r="A50" s="2"/>
      <c r="B50" s="2"/>
      <c r="C50" s="2">
        <v>0.10398300000000001</v>
      </c>
      <c r="D50" s="2">
        <v>0.40423300000000001</v>
      </c>
      <c r="E50" s="2">
        <v>0.60548299999999999</v>
      </c>
      <c r="F50" s="2">
        <v>0.70798300000000003</v>
      </c>
      <c r="G50" s="2"/>
      <c r="H50" s="2"/>
      <c r="I50" s="2"/>
      <c r="J50" s="2"/>
      <c r="K50" s="2"/>
      <c r="L50" s="2"/>
      <c r="M50" s="2"/>
      <c r="N50" s="2"/>
      <c r="O50" s="2">
        <v>0.5</v>
      </c>
      <c r="P50" s="2">
        <v>0.2175</v>
      </c>
      <c r="Q50" s="2">
        <v>9.2950000000000005E-2</v>
      </c>
      <c r="R50" s="2" t="s">
        <v>81</v>
      </c>
      <c r="S50" s="2">
        <f>(Q50-P$60)/P$59</f>
        <v>0.27064220183486243</v>
      </c>
      <c r="T50" s="2">
        <f>S50*1000</f>
        <v>270.64220183486242</v>
      </c>
      <c r="U50" s="2">
        <v>2</v>
      </c>
    </row>
    <row r="51" spans="1:21" x14ac:dyDescent="0.2">
      <c r="A51" s="2"/>
      <c r="B51" s="2"/>
      <c r="C51" s="2">
        <v>0.10398300000000001</v>
      </c>
      <c r="D51" s="2">
        <v>0.40423300000000001</v>
      </c>
      <c r="E51" s="2">
        <v>0.60548299999999999</v>
      </c>
      <c r="F51" s="2">
        <v>0.70798300000000003</v>
      </c>
      <c r="G51" s="2"/>
      <c r="H51" s="2"/>
      <c r="I51" s="2"/>
      <c r="J51" s="2"/>
      <c r="K51" s="2"/>
      <c r="L51" s="2"/>
      <c r="M51" s="2"/>
      <c r="N51" s="2"/>
      <c r="O51" s="2">
        <v>0.75</v>
      </c>
      <c r="P51" s="2">
        <v>0.27160000000000001</v>
      </c>
      <c r="Q51" s="2"/>
      <c r="R51" s="2"/>
      <c r="S51" s="2"/>
      <c r="T51" s="2"/>
      <c r="U51" s="2"/>
    </row>
    <row r="52" spans="1:21" x14ac:dyDescent="0.2">
      <c r="O52" s="2">
        <v>1</v>
      </c>
      <c r="P52" s="2">
        <v>0.32340000000000002</v>
      </c>
    </row>
    <row r="53" spans="1:21" x14ac:dyDescent="0.2">
      <c r="O53" s="2">
        <v>1.25</v>
      </c>
      <c r="P53" s="2">
        <v>0.33810000000000001</v>
      </c>
    </row>
    <row r="54" spans="1:21" x14ac:dyDescent="0.2">
      <c r="O54" s="2">
        <v>1.5</v>
      </c>
      <c r="P54" s="2">
        <v>0.43130000000000002</v>
      </c>
    </row>
    <row r="59" spans="1:21" x14ac:dyDescent="0.2">
      <c r="O59" t="s">
        <v>75</v>
      </c>
      <c r="P59">
        <v>0.22889999999999999</v>
      </c>
    </row>
    <row r="60" spans="1:21" x14ac:dyDescent="0.2">
      <c r="O60" t="s">
        <v>76</v>
      </c>
      <c r="P60">
        <v>3.1E-2</v>
      </c>
    </row>
    <row r="63" spans="1:21" x14ac:dyDescent="0.2">
      <c r="O63" s="2" t="s">
        <v>56</v>
      </c>
      <c r="P63" s="2" t="s">
        <v>57</v>
      </c>
      <c r="Q63" s="4" t="s">
        <v>58</v>
      </c>
      <c r="R63" s="4" t="s">
        <v>59</v>
      </c>
      <c r="S63" s="4" t="s">
        <v>14</v>
      </c>
      <c r="T63" s="4" t="s">
        <v>9</v>
      </c>
      <c r="U63" s="4" t="s">
        <v>78</v>
      </c>
    </row>
    <row r="64" spans="1:21" x14ac:dyDescent="0.2">
      <c r="O64" s="2">
        <v>0</v>
      </c>
      <c r="P64" s="2">
        <v>9.9299999999999999E-2</v>
      </c>
      <c r="Q64">
        <v>0.15665000000000001</v>
      </c>
      <c r="R64" t="s">
        <v>67</v>
      </c>
      <c r="S64">
        <f>(Q64-P$75)/P$74</f>
        <v>0.17256142963514526</v>
      </c>
      <c r="T64">
        <f>S64*1000</f>
        <v>172.56142963514526</v>
      </c>
      <c r="U64">
        <v>2</v>
      </c>
    </row>
    <row r="65" spans="15:21" x14ac:dyDescent="0.2">
      <c r="O65" s="2">
        <v>0.25</v>
      </c>
      <c r="P65" s="2">
        <v>0.1802</v>
      </c>
      <c r="Q65">
        <v>0.16594999999999999</v>
      </c>
      <c r="R65" t="s">
        <v>69</v>
      </c>
      <c r="S65">
        <f>(Q65-P$75)/P$74</f>
        <v>0.20718540580789274</v>
      </c>
      <c r="T65">
        <f>S65*1000</f>
        <v>207.18540580789275</v>
      </c>
      <c r="U65">
        <v>2</v>
      </c>
    </row>
    <row r="66" spans="15:21" x14ac:dyDescent="0.2">
      <c r="O66" s="2">
        <v>0.5</v>
      </c>
      <c r="P66" s="2">
        <v>0.24779999999999999</v>
      </c>
    </row>
    <row r="67" spans="15:21" x14ac:dyDescent="0.2">
      <c r="O67" s="2">
        <v>0.75</v>
      </c>
      <c r="P67" s="2">
        <v>0.31809999999999999</v>
      </c>
    </row>
    <row r="68" spans="15:21" x14ac:dyDescent="0.2">
      <c r="O68" s="2">
        <v>1</v>
      </c>
      <c r="P68" s="2">
        <v>0.39179999999999998</v>
      </c>
    </row>
    <row r="69" spans="15:21" x14ac:dyDescent="0.2">
      <c r="O69" s="2">
        <v>1.25</v>
      </c>
      <c r="P69" s="2">
        <v>0.44109999999999999</v>
      </c>
    </row>
    <row r="70" spans="15:21" x14ac:dyDescent="0.2">
      <c r="O70" s="2">
        <v>1.5</v>
      </c>
      <c r="P70" s="2">
        <v>0.50409999999999999</v>
      </c>
    </row>
    <row r="74" spans="15:21" x14ac:dyDescent="0.2">
      <c r="O74" t="s">
        <v>75</v>
      </c>
      <c r="P74">
        <v>0.26860000000000001</v>
      </c>
    </row>
    <row r="75" spans="15:21" x14ac:dyDescent="0.2">
      <c r="O75" t="s">
        <v>76</v>
      </c>
      <c r="P75">
        <v>0.1103</v>
      </c>
    </row>
    <row r="78" spans="15:21" x14ac:dyDescent="0.2">
      <c r="O78" s="2" t="s">
        <v>56</v>
      </c>
      <c r="P78" s="2" t="s">
        <v>57</v>
      </c>
      <c r="Q78" s="4" t="s">
        <v>58</v>
      </c>
      <c r="R78" s="4" t="s">
        <v>59</v>
      </c>
      <c r="S78" s="4" t="s">
        <v>14</v>
      </c>
      <c r="T78" s="4" t="s">
        <v>9</v>
      </c>
      <c r="U78" s="4" t="s">
        <v>78</v>
      </c>
    </row>
    <row r="79" spans="15:21" x14ac:dyDescent="0.2">
      <c r="O79" s="2">
        <v>0</v>
      </c>
      <c r="P79" s="2">
        <v>7.0300000000000001E-2</v>
      </c>
      <c r="Q79" s="2">
        <v>0.11855</v>
      </c>
      <c r="R79" t="s">
        <v>67</v>
      </c>
      <c r="S79">
        <f>(Q79-P$88)/P$87</f>
        <v>0.18107427612253466</v>
      </c>
      <c r="T79">
        <f>S79*1000</f>
        <v>181.07427612253466</v>
      </c>
      <c r="U79">
        <v>2</v>
      </c>
    </row>
    <row r="80" spans="15:21" x14ac:dyDescent="0.2">
      <c r="O80" s="2">
        <v>0.25</v>
      </c>
      <c r="P80" s="2">
        <v>0.1351</v>
      </c>
      <c r="Q80" s="2">
        <v>0.13095000000000001</v>
      </c>
      <c r="R80" t="s">
        <v>69</v>
      </c>
      <c r="S80">
        <f t="shared" ref="S80" si="0">(Q80-P$88)/P$87</f>
        <v>0.23310952580780533</v>
      </c>
      <c r="T80">
        <f t="shared" ref="T80:T81" si="1">S80*1000</f>
        <v>233.10952580780534</v>
      </c>
      <c r="U80">
        <v>2</v>
      </c>
    </row>
    <row r="81" spans="15:21" x14ac:dyDescent="0.2">
      <c r="O81" s="2">
        <v>0.5</v>
      </c>
      <c r="P81">
        <v>0.1956</v>
      </c>
      <c r="Q81">
        <v>0.64470000000000005</v>
      </c>
      <c r="R81" t="s">
        <v>69</v>
      </c>
      <c r="S81">
        <f>(Q81-P$88)/P$87</f>
        <v>2.3890054553084346</v>
      </c>
      <c r="T81">
        <f t="shared" si="1"/>
        <v>2389.0054553084346</v>
      </c>
      <c r="U81">
        <v>2</v>
      </c>
    </row>
    <row r="82" spans="15:21" x14ac:dyDescent="0.2">
      <c r="O82" s="2">
        <v>0.75</v>
      </c>
      <c r="P82" s="2">
        <v>0.26290000000000002</v>
      </c>
    </row>
    <row r="83" spans="15:21" x14ac:dyDescent="0.2">
      <c r="O83" s="2">
        <v>1</v>
      </c>
      <c r="P83" s="2">
        <v>0.30790000000000001</v>
      </c>
    </row>
    <row r="84" spans="15:21" x14ac:dyDescent="0.2">
      <c r="O84" s="2">
        <v>1.25</v>
      </c>
      <c r="P84" s="2">
        <v>0.38369999999999999</v>
      </c>
    </row>
    <row r="85" spans="15:21" x14ac:dyDescent="0.2">
      <c r="O85" s="2">
        <v>1.5</v>
      </c>
      <c r="P85" s="2">
        <v>0.42320000000000002</v>
      </c>
    </row>
    <row r="86" spans="15:21" x14ac:dyDescent="0.2">
      <c r="P86" s="2"/>
    </row>
    <row r="87" spans="15:21" x14ac:dyDescent="0.2">
      <c r="O87" t="s">
        <v>75</v>
      </c>
      <c r="P87" s="2">
        <v>0.23830000000000001</v>
      </c>
    </row>
    <row r="88" spans="15:21" x14ac:dyDescent="0.2">
      <c r="O88" t="s">
        <v>76</v>
      </c>
      <c r="P88" s="2">
        <v>7.5399999999999995E-2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74AC-B430-334E-87C1-78DE6920DEB0}">
  <dimension ref="A1:R46"/>
  <sheetViews>
    <sheetView tabSelected="1" workbookViewId="0">
      <selection activeCell="G17" sqref="G17"/>
    </sheetView>
  </sheetViews>
  <sheetFormatPr baseColWidth="10" defaultRowHeight="16" x14ac:dyDescent="0.2"/>
  <sheetData>
    <row r="1" spans="1:18" ht="17" thickBot="1" x14ac:dyDescent="0.25">
      <c r="A1" s="37" t="s">
        <v>82</v>
      </c>
      <c r="B1" s="37"/>
      <c r="C1" s="37"/>
      <c r="D1" s="37"/>
      <c r="E1" s="37"/>
      <c r="F1" s="37"/>
      <c r="G1" s="37"/>
      <c r="H1" s="37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x14ac:dyDescent="0.2">
      <c r="A2" s="11" t="s">
        <v>10</v>
      </c>
      <c r="B2" s="11"/>
      <c r="C2" s="10"/>
      <c r="D2" s="10"/>
      <c r="E2" s="10"/>
      <c r="F2" s="10"/>
      <c r="G2" s="10"/>
      <c r="H2" s="10"/>
      <c r="I2" s="10"/>
      <c r="J2" s="10"/>
      <c r="K2" s="12" t="s">
        <v>1</v>
      </c>
      <c r="L2" s="13"/>
      <c r="M2" s="13"/>
      <c r="N2" s="13"/>
      <c r="O2" s="14">
        <v>150000000000</v>
      </c>
      <c r="P2" s="13" t="s">
        <v>2</v>
      </c>
      <c r="Q2" s="13"/>
      <c r="R2" s="15"/>
    </row>
    <row r="3" spans="1:18" x14ac:dyDescent="0.2">
      <c r="A3" s="10"/>
      <c r="B3" s="10" t="s">
        <v>11</v>
      </c>
      <c r="C3" s="10"/>
      <c r="D3" s="16">
        <v>10</v>
      </c>
      <c r="E3" s="10"/>
      <c r="F3" s="10"/>
      <c r="G3" s="10"/>
      <c r="H3" s="10"/>
      <c r="I3" s="10"/>
      <c r="J3" s="10"/>
      <c r="K3" s="17" t="s">
        <v>3</v>
      </c>
      <c r="L3" s="10"/>
      <c r="M3" s="10"/>
      <c r="N3" s="18">
        <v>7440000000000000</v>
      </c>
      <c r="O3" s="10" t="s">
        <v>2</v>
      </c>
      <c r="P3" s="10"/>
      <c r="Q3" s="10"/>
      <c r="R3" s="19"/>
    </row>
    <row r="4" spans="1:18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7" t="s">
        <v>4</v>
      </c>
      <c r="L4" s="10"/>
      <c r="M4" s="10"/>
      <c r="N4" s="18">
        <v>6.02E+23</v>
      </c>
      <c r="O4" s="10" t="s">
        <v>5</v>
      </c>
      <c r="P4" s="10"/>
      <c r="Q4" s="10"/>
      <c r="R4" s="19"/>
    </row>
    <row r="5" spans="1:18" ht="17" thickBot="1" x14ac:dyDescent="0.25">
      <c r="A5" s="16" t="s">
        <v>12</v>
      </c>
      <c r="B5" s="10" t="s">
        <v>13</v>
      </c>
      <c r="C5" s="10"/>
      <c r="D5" s="20">
        <v>0.01</v>
      </c>
      <c r="E5" s="10" t="s">
        <v>14</v>
      </c>
      <c r="F5" s="10" t="s">
        <v>8</v>
      </c>
      <c r="G5" s="21">
        <v>12080</v>
      </c>
      <c r="H5" s="22" t="s">
        <v>9</v>
      </c>
      <c r="I5" s="23"/>
      <c r="J5" s="10"/>
      <c r="K5" s="24" t="s">
        <v>6</v>
      </c>
      <c r="L5" s="25"/>
      <c r="M5" s="25"/>
      <c r="N5" s="26">
        <v>1.24E-8</v>
      </c>
      <c r="O5" s="25" t="s">
        <v>7</v>
      </c>
      <c r="P5" s="25" t="s">
        <v>8</v>
      </c>
      <c r="Q5" s="27">
        <v>12.35</v>
      </c>
      <c r="R5" s="28" t="s">
        <v>9</v>
      </c>
    </row>
    <row r="6" spans="1:18" x14ac:dyDescent="0.2">
      <c r="A6" s="10"/>
      <c r="B6" s="10" t="s">
        <v>15</v>
      </c>
      <c r="C6" s="10"/>
      <c r="D6" s="10">
        <v>200</v>
      </c>
      <c r="E6" s="10" t="s">
        <v>16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x14ac:dyDescent="0.2">
      <c r="A7" s="10"/>
      <c r="B7" s="29" t="s">
        <v>17</v>
      </c>
      <c r="C7" s="29"/>
      <c r="D7" s="30">
        <v>2.0499999999999998</v>
      </c>
      <c r="E7" s="29" t="s">
        <v>16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x14ac:dyDescent="0.2">
      <c r="A8" s="10"/>
      <c r="B8" s="10"/>
      <c r="C8" s="10"/>
      <c r="D8" s="3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x14ac:dyDescent="0.2">
      <c r="A9" s="11" t="s">
        <v>10</v>
      </c>
      <c r="B9" s="11"/>
      <c r="C9" s="10"/>
      <c r="D9" s="10"/>
      <c r="E9" s="10"/>
      <c r="F9" s="10"/>
      <c r="G9" s="10"/>
      <c r="H9" s="10"/>
      <c r="I9" s="31"/>
      <c r="J9" s="10"/>
      <c r="K9" s="10"/>
      <c r="L9" s="10"/>
      <c r="M9" s="10"/>
      <c r="N9" s="10"/>
      <c r="O9" s="10"/>
      <c r="P9" s="10"/>
      <c r="Q9" s="10"/>
      <c r="R9" s="10"/>
    </row>
    <row r="10" spans="1:18" x14ac:dyDescent="0.2">
      <c r="A10" s="10"/>
      <c r="B10" s="10" t="s">
        <v>11</v>
      </c>
      <c r="C10" s="10"/>
      <c r="D10" s="16">
        <v>30</v>
      </c>
      <c r="E10" s="10"/>
      <c r="F10" s="10"/>
      <c r="G10" s="10"/>
      <c r="H10" s="32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x14ac:dyDescent="0.2">
      <c r="A12" s="16" t="s">
        <v>12</v>
      </c>
      <c r="B12" s="10" t="s">
        <v>13</v>
      </c>
      <c r="C12" s="10"/>
      <c r="D12" s="20">
        <v>0.01</v>
      </c>
      <c r="E12" s="10" t="s">
        <v>14</v>
      </c>
      <c r="F12" s="10" t="s">
        <v>8</v>
      </c>
      <c r="G12" s="21">
        <v>12080</v>
      </c>
      <c r="H12" s="10" t="s">
        <v>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x14ac:dyDescent="0.2">
      <c r="A13" s="10"/>
      <c r="B13" s="10" t="s">
        <v>15</v>
      </c>
      <c r="C13" s="10"/>
      <c r="D13" s="10">
        <v>200</v>
      </c>
      <c r="E13" s="10" t="s">
        <v>16</v>
      </c>
      <c r="F13" s="10"/>
      <c r="G13" s="10"/>
      <c r="H13" s="10"/>
      <c r="I13" s="10"/>
      <c r="J13" s="31"/>
      <c r="K13" s="10"/>
      <c r="L13" s="10"/>
      <c r="M13" s="10"/>
      <c r="N13" s="10"/>
      <c r="O13" s="10"/>
      <c r="P13" s="10"/>
      <c r="Q13" s="10"/>
      <c r="R13" s="10"/>
    </row>
    <row r="14" spans="1:18" x14ac:dyDescent="0.2">
      <c r="A14" s="10"/>
      <c r="B14" s="29" t="s">
        <v>17</v>
      </c>
      <c r="C14" s="29"/>
      <c r="D14" s="33">
        <v>6.1360400000000004</v>
      </c>
      <c r="E14" s="29" t="s">
        <v>16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x14ac:dyDescent="0.2">
      <c r="A15" s="10"/>
      <c r="B15" s="10"/>
      <c r="C15" s="10"/>
      <c r="D15" s="31" t="s">
        <v>83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x14ac:dyDescent="0.2">
      <c r="A17" s="11" t="s">
        <v>10</v>
      </c>
      <c r="B17" s="1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x14ac:dyDescent="0.2">
      <c r="A18" s="10"/>
      <c r="B18" s="10" t="s">
        <v>11</v>
      </c>
      <c r="C18" s="10"/>
      <c r="D18" s="34">
        <v>70</v>
      </c>
      <c r="E18" s="10"/>
      <c r="F18" s="10"/>
      <c r="G18" s="10"/>
      <c r="H18" s="10"/>
      <c r="I18" s="10"/>
      <c r="J18" s="10"/>
      <c r="K18" s="31"/>
      <c r="L18" s="10"/>
      <c r="M18" s="10"/>
      <c r="N18" s="10"/>
      <c r="O18" s="10"/>
      <c r="P18" s="10"/>
      <c r="Q18" s="10"/>
      <c r="R18" s="10"/>
    </row>
    <row r="19" spans="1:18" x14ac:dyDescent="0.2">
      <c r="A19" s="10"/>
      <c r="B19" s="10"/>
      <c r="C19" s="10"/>
      <c r="D19" s="10"/>
      <c r="E19" s="10"/>
      <c r="F19" s="10"/>
      <c r="G19" s="10"/>
      <c r="H19" s="21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x14ac:dyDescent="0.2">
      <c r="A20" s="16" t="s">
        <v>12</v>
      </c>
      <c r="B20" s="10" t="s">
        <v>13</v>
      </c>
      <c r="C20" s="10"/>
      <c r="D20" s="20">
        <v>0.01</v>
      </c>
      <c r="E20" s="10" t="s">
        <v>14</v>
      </c>
      <c r="F20" s="10" t="s">
        <v>8</v>
      </c>
      <c r="G20" s="21">
        <v>12080</v>
      </c>
      <c r="H20" s="10" t="s">
        <v>9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x14ac:dyDescent="0.2">
      <c r="A21" s="10"/>
      <c r="B21" s="10" t="s">
        <v>15</v>
      </c>
      <c r="C21" s="10"/>
      <c r="D21" s="10">
        <v>200</v>
      </c>
      <c r="E21" s="10" t="s">
        <v>16</v>
      </c>
      <c r="F21" s="10"/>
      <c r="G21" s="10"/>
      <c r="H21" s="10"/>
      <c r="I21" s="10"/>
      <c r="J21" s="35"/>
      <c r="K21" s="10"/>
      <c r="L21" s="10"/>
      <c r="M21" s="10"/>
      <c r="N21" s="10"/>
      <c r="O21" s="10"/>
      <c r="P21" s="10"/>
      <c r="Q21" s="10"/>
      <c r="R21" s="10"/>
    </row>
    <row r="22" spans="1:18" x14ac:dyDescent="0.2">
      <c r="A22" s="10"/>
      <c r="B22" s="29" t="s">
        <v>17</v>
      </c>
      <c r="C22" s="29"/>
      <c r="D22" s="33">
        <v>14.31742</v>
      </c>
      <c r="E22" s="29" t="s">
        <v>16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x14ac:dyDescent="0.2">
      <c r="A23" s="10"/>
      <c r="B23" s="10"/>
      <c r="C23" s="10"/>
      <c r="D23" s="31"/>
      <c r="E23" s="10"/>
      <c r="F23" s="10"/>
      <c r="G23" s="10"/>
      <c r="H23" s="10"/>
      <c r="I23" s="31"/>
      <c r="J23" s="10"/>
      <c r="K23" s="10"/>
      <c r="L23" s="10"/>
      <c r="M23" s="10"/>
      <c r="N23" s="10"/>
      <c r="O23" s="10"/>
      <c r="P23" s="10"/>
      <c r="Q23" s="10"/>
      <c r="R23" s="10"/>
    </row>
    <row r="24" spans="1:18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x14ac:dyDescent="0.2">
      <c r="A25" s="11" t="s">
        <v>10</v>
      </c>
      <c r="B25" s="11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x14ac:dyDescent="0.2">
      <c r="A26" s="10"/>
      <c r="B26" s="10" t="s">
        <v>11</v>
      </c>
      <c r="C26" s="10"/>
      <c r="D26" s="34">
        <v>100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18" x14ac:dyDescent="0.2">
      <c r="A28" s="16" t="s">
        <v>12</v>
      </c>
      <c r="B28" s="10" t="s">
        <v>13</v>
      </c>
      <c r="C28" s="10"/>
      <c r="D28" s="20">
        <v>0.01</v>
      </c>
      <c r="E28" s="10" t="s">
        <v>14</v>
      </c>
      <c r="F28" s="10" t="s">
        <v>8</v>
      </c>
      <c r="G28" s="21">
        <v>12080</v>
      </c>
      <c r="H28" s="10" t="s">
        <v>9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x14ac:dyDescent="0.2">
      <c r="A29" s="10"/>
      <c r="B29" s="10" t="s">
        <v>15</v>
      </c>
      <c r="C29" s="10"/>
      <c r="D29" s="10">
        <v>200</v>
      </c>
      <c r="E29" s="10" t="s">
        <v>16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x14ac:dyDescent="0.2">
      <c r="A30" s="10"/>
      <c r="B30" s="29" t="s">
        <v>17</v>
      </c>
      <c r="C30" s="29"/>
      <c r="D30" s="33">
        <v>20.45346</v>
      </c>
      <c r="E30" s="29" t="s">
        <v>16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x14ac:dyDescent="0.2">
      <c r="A31" s="10"/>
      <c r="B31" s="10"/>
      <c r="C31" s="10"/>
      <c r="D31" s="31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x14ac:dyDescent="0.2">
      <c r="A33" s="11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x14ac:dyDescent="0.2">
      <c r="A36" s="16"/>
      <c r="B36" s="10"/>
      <c r="C36" s="10"/>
      <c r="D36" s="20"/>
      <c r="E36" s="10"/>
      <c r="F36" s="10"/>
      <c r="G36" s="2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x14ac:dyDescent="0.2">
      <c r="A38" s="10"/>
      <c r="B38" s="10"/>
      <c r="C38" s="10"/>
      <c r="D38" s="31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1:18" x14ac:dyDescent="0.2">
      <c r="A41" s="11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 x14ac:dyDescent="0.2">
      <c r="A42" s="10"/>
      <c r="B42" s="10"/>
      <c r="C42" s="10"/>
      <c r="D42" s="2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1:18" x14ac:dyDescent="0.2">
      <c r="A44" s="16"/>
      <c r="B44" s="10"/>
      <c r="C44" s="10"/>
      <c r="D44" s="20"/>
      <c r="E44" s="10"/>
      <c r="F44" s="10"/>
      <c r="G44" s="2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1:18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1:18" x14ac:dyDescent="0.2">
      <c r="A46" s="10"/>
      <c r="B46" s="10"/>
      <c r="C46" s="10"/>
      <c r="D46" s="36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KTP to Trauts</vt:lpstr>
      <vt:lpstr>KTP SH to LNPs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Cruz Gonzalez</dc:creator>
  <cp:lastModifiedBy>Brenda Cruz Gonzalez</cp:lastModifiedBy>
  <dcterms:created xsi:type="dcterms:W3CDTF">2025-12-31T18:12:07Z</dcterms:created>
  <dcterms:modified xsi:type="dcterms:W3CDTF">2025-12-31T18:13:59Z</dcterms:modified>
</cp:coreProperties>
</file>